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reezo\Documents\Cours\BUT2\PeriodeC\MASI\TD2\"/>
    </mc:Choice>
  </mc:AlternateContent>
  <xr:revisionPtr revIDLastSave="0" documentId="13_ncr:1_{F95A9456-02A8-4001-BD23-EFEA92AF59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ulaire" sheetId="2" r:id="rId1"/>
    <sheet name="fiche immo" sheetId="1" r:id="rId2"/>
    <sheet name="liste des imm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E10" i="1"/>
  <c r="C9" i="1"/>
  <c r="C16" i="1" a="1"/>
  <c r="C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<sst xmlns="http://schemas.openxmlformats.org/spreadsheetml/2006/main" count="38" uniqueCount="36">
  <si>
    <t>compte comptable :</t>
  </si>
  <si>
    <t>Désignation :</t>
  </si>
  <si>
    <t>Date achat :</t>
  </si>
  <si>
    <t>Date mise en service :</t>
  </si>
  <si>
    <t>montant à amortir</t>
  </si>
  <si>
    <t>type amortissement :</t>
  </si>
  <si>
    <t>durée :</t>
  </si>
  <si>
    <t>Date cession</t>
  </si>
  <si>
    <t>motif cession</t>
  </si>
  <si>
    <t>taux :</t>
  </si>
  <si>
    <t>plan amortissement</t>
  </si>
  <si>
    <t>Date fin exercice</t>
  </si>
  <si>
    <t>VNC début exercice</t>
  </si>
  <si>
    <t>Annuité</t>
  </si>
  <si>
    <t>Amortisst cumulé</t>
  </si>
  <si>
    <t>VNC fin exercice</t>
  </si>
  <si>
    <t>LINEAIRE</t>
  </si>
  <si>
    <t>Date début amortisst :</t>
  </si>
  <si>
    <t>Formulaire de saisie d'une nouvelle immobilisation</t>
  </si>
  <si>
    <t>Compte comptable :</t>
  </si>
  <si>
    <t>Date d'acquisition :</t>
  </si>
  <si>
    <t>Durée :</t>
  </si>
  <si>
    <t>Type d'amortissement :</t>
  </si>
  <si>
    <t>Montant :</t>
  </si>
  <si>
    <t>date d'acquisition</t>
  </si>
  <si>
    <t>Désignation</t>
  </si>
  <si>
    <t>compte comptable</t>
  </si>
  <si>
    <t>date mise en service</t>
  </si>
  <si>
    <t>durée</t>
  </si>
  <si>
    <t>type d'amortissement</t>
  </si>
  <si>
    <t>Montant</t>
  </si>
  <si>
    <t>(5)</t>
  </si>
  <si>
    <t>(7)</t>
  </si>
  <si>
    <t>(8)</t>
  </si>
  <si>
    <t>linéaire</t>
  </si>
  <si>
    <t>ordinateur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</si>
</sst>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0\ _€_-;\-* #,##0.00\ _€_-;_-* &quot;-&quot;??\ _€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right"/>
    </xf>
    <xf numFmtId="0" fontId="0" fillId="0" borderId="5" xfId="0" applyBorder="1"/>
    <xf numFmtId="0" fontId="0" fillId="2" borderId="1" xfId="0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8" xfId="0" applyBorder="1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quotePrefix="1"/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44" fontId="1" fillId="2" borderId="1" xfId="0" applyNumberFormat="1" applyFont="1" applyFill="1" applyBorder="1" applyAlignment="1">
      <alignment horizontal="center" vertical="center" wrapText="1"/>
    </xf>
    <xf numFmtId="44" fontId="0" fillId="0" borderId="0" xfId="0" applyNumberFormat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5" xfId="0" applyNumberFormat="1" applyBorder="1"/>
    <xf numFmtId="14" fontId="0" fillId="0" borderId="5" xfId="0" quotePrefix="1" applyNumberFormat="1" applyBorder="1"/>
    <xf numFmtId="9" fontId="0" fillId="0" borderId="5" xfId="2" quotePrefix="1" applyFont="1" applyBorder="1"/>
    <xf numFmtId="0" fontId="0" fillId="3" borderId="6" xfId="0" applyFill="1" applyBorder="1" applyAlignment="1" applyProtection="1">
      <alignment horizontal="center"/>
      <protection locked="0"/>
    </xf>
    <xf numFmtId="0" fontId="0" fillId="3" borderId="7" xfId="0" applyFill="1" applyBorder="1" applyAlignment="1" applyProtection="1">
      <alignment horizontal="center"/>
      <protection locked="0"/>
    </xf>
    <xf numFmtId="14" fontId="0" fillId="3" borderId="6" xfId="0" applyNumberFormat="1" applyFill="1" applyBorder="1" applyAlignment="1" applyProtection="1">
      <alignment horizontal="center"/>
      <protection locked="0"/>
    </xf>
    <xf numFmtId="164" fontId="0" fillId="3" borderId="6" xfId="1" applyFont="1" applyFill="1" applyBorder="1" applyProtection="1">
      <protection locked="0"/>
    </xf>
    <xf numFmtId="0" fontId="0" fillId="0" borderId="6" xfId="0" applyFill="1" applyBorder="1"/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777240</xdr:colOff>
          <xdr:row>17</xdr:row>
          <xdr:rowOff>182880</xdr:rowOff>
        </xdr:from>
        <xdr:to>
          <xdr:col>3</xdr:col>
          <xdr:colOff>45720</xdr:colOff>
          <xdr:row>19</xdr:row>
          <xdr:rowOff>91440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Créer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358140</xdr:colOff>
          <xdr:row>17</xdr:row>
          <xdr:rowOff>182880</xdr:rowOff>
        </xdr:from>
        <xdr:to>
          <xdr:col>4</xdr:col>
          <xdr:colOff>594360</xdr:colOff>
          <xdr:row>19</xdr:row>
          <xdr:rowOff>91440</xdr:rowOff>
        </xdr:to>
        <xdr:sp macro="" textlink="">
          <xdr:nvSpPr>
            <xdr:cNvPr id="2052" name="Button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34B38833-02D9-E3A0-F47D-AD8DAB314F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Annuler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2:E21"/>
  <sheetViews>
    <sheetView showGridLines="0" tabSelected="1" workbookViewId="0">
      <selection activeCell="B17" sqref="B17"/>
    </sheetView>
  </sheetViews>
  <sheetFormatPr baseColWidth="10" defaultRowHeight="14.4" x14ac:dyDescent="0.3"/>
  <cols>
    <col min="1" max="1" width="23.5546875" customWidth="1"/>
    <col min="2" max="2" width="14.109375" customWidth="1"/>
    <col min="8" max="8" width="11.5546875" customWidth="1"/>
  </cols>
  <sheetData>
    <row r="2" spans="1:5" ht="15.6" x14ac:dyDescent="0.3">
      <c r="A2" s="19" t="s">
        <v>18</v>
      </c>
      <c r="B2" s="19"/>
      <c r="C2" s="19"/>
      <c r="D2" s="19"/>
      <c r="E2" s="19"/>
    </row>
    <row r="5" spans="1:5" ht="15" thickBot="1" x14ac:dyDescent="0.35">
      <c r="A5" s="1" t="s">
        <v>1</v>
      </c>
      <c r="B5" s="28"/>
      <c r="C5" s="29"/>
      <c r="D5" s="29"/>
      <c r="E5" s="29"/>
    </row>
    <row r="6" spans="1:5" ht="15" thickTop="1" x14ac:dyDescent="0.3">
      <c r="A6" s="1"/>
      <c r="B6" s="6"/>
      <c r="C6" s="6"/>
      <c r="D6" s="6"/>
      <c r="E6" s="6"/>
    </row>
    <row r="7" spans="1:5" ht="15" thickBot="1" x14ac:dyDescent="0.35">
      <c r="A7" s="1" t="s">
        <v>19</v>
      </c>
      <c r="B7" s="28"/>
      <c r="C7" s="29"/>
      <c r="D7" s="29"/>
      <c r="E7" s="29"/>
    </row>
    <row r="8" spans="1:5" ht="15" thickTop="1" x14ac:dyDescent="0.3">
      <c r="A8" s="1"/>
      <c r="B8" s="6"/>
      <c r="C8" s="6"/>
      <c r="D8" s="6"/>
      <c r="E8" s="6"/>
    </row>
    <row r="9" spans="1:5" ht="15" thickBot="1" x14ac:dyDescent="0.35">
      <c r="A9" s="1" t="s">
        <v>20</v>
      </c>
      <c r="B9" s="30"/>
      <c r="C9" s="29"/>
      <c r="D9" s="29"/>
      <c r="E9" s="29"/>
    </row>
    <row r="10" spans="1:5" ht="15" thickTop="1" x14ac:dyDescent="0.3">
      <c r="A10" s="1"/>
      <c r="B10" s="6"/>
      <c r="C10" s="6"/>
      <c r="D10" s="6"/>
      <c r="E10" s="6"/>
    </row>
    <row r="11" spans="1:5" ht="15" thickBot="1" x14ac:dyDescent="0.35">
      <c r="A11" s="1" t="s">
        <v>3</v>
      </c>
      <c r="B11" s="30"/>
      <c r="C11" s="29"/>
      <c r="D11" s="29"/>
      <c r="E11" s="29"/>
    </row>
    <row r="12" spans="1:5" ht="15" thickTop="1" x14ac:dyDescent="0.3">
      <c r="A12" s="1"/>
      <c r="B12" s="6"/>
      <c r="C12" s="6"/>
      <c r="D12" s="6"/>
      <c r="E12" s="6"/>
    </row>
    <row r="13" spans="1:5" ht="15" thickBot="1" x14ac:dyDescent="0.35">
      <c r="A13" s="1" t="s">
        <v>21</v>
      </c>
      <c r="B13" s="28"/>
      <c r="C13" s="29"/>
      <c r="D13" s="29"/>
      <c r="E13" s="29"/>
    </row>
    <row r="14" spans="1:5" ht="15" thickTop="1" x14ac:dyDescent="0.3">
      <c r="B14" s="18"/>
      <c r="C14" s="18"/>
      <c r="D14" s="18"/>
      <c r="E14" s="18"/>
    </row>
    <row r="15" spans="1:5" ht="15" thickBot="1" x14ac:dyDescent="0.35">
      <c r="A15" s="1" t="s">
        <v>22</v>
      </c>
      <c r="B15" s="32" t="s">
        <v>34</v>
      </c>
    </row>
    <row r="16" spans="1:5" ht="15" thickTop="1" x14ac:dyDescent="0.3"/>
    <row r="17" spans="1:3" ht="15" thickBot="1" x14ac:dyDescent="0.35">
      <c r="A17" s="1" t="s">
        <v>23</v>
      </c>
      <c r="B17" s="31"/>
    </row>
    <row r="18" spans="1:3" ht="15" thickTop="1" x14ac:dyDescent="0.3"/>
    <row r="21" spans="1:3" x14ac:dyDescent="0.3">
      <c r="C21" s="7"/>
    </row>
  </sheetData>
  <sheetProtection algorithmName="SHA-512" hashValue="W5iV4zql8nc7Q1bGXtBhJABs9ko+vcnawU+88MTQbY/bxEuLs9unTBIK+TmmIZ//z8c9WHw8FZPudCoSj9HMkg==" saltValue="LhnZtLNZXdIPUGsLA/sTOA==" spinCount="100000" sheet="1" selectLockedCells="1"/>
  <mergeCells count="7">
    <mergeCell ref="B14:E14"/>
    <mergeCell ref="A2:E2"/>
    <mergeCell ref="B5:E5"/>
    <mergeCell ref="B7:E7"/>
    <mergeCell ref="B9:E9"/>
    <mergeCell ref="B11:E11"/>
    <mergeCell ref="B13:E13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Pict="0" macro="[0]!btnCreer">
                <anchor moveWithCells="1">
                  <from>
                    <xdr:col>1</xdr:col>
                    <xdr:colOff>777240</xdr:colOff>
                    <xdr:row>17</xdr:row>
                    <xdr:rowOff>182880</xdr:rowOff>
                  </from>
                  <to>
                    <xdr:col>3</xdr:col>
                    <xdr:colOff>45720</xdr:colOff>
                    <xdr:row>19</xdr:row>
                    <xdr:rowOff>91440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5" name="Button 4">
              <controlPr defaultSize="0" print="0" autoFill="0" autoPict="0" macro="[0]!btnCreer">
                <anchor moveWithCells="1">
                  <from>
                    <xdr:col>3</xdr:col>
                    <xdr:colOff>358140</xdr:colOff>
                    <xdr:row>17</xdr:row>
                    <xdr:rowOff>182880</xdr:rowOff>
                  </from>
                  <to>
                    <xdr:col>4</xdr:col>
                    <xdr:colOff>594360</xdr:colOff>
                    <xdr:row>19</xdr:row>
                    <xdr:rowOff>91440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F16"/>
  <sheetViews>
    <sheetView workbookViewId="0">
      <selection activeCell="A16" sqref="A16"/>
    </sheetView>
  </sheetViews>
  <sheetFormatPr baseColWidth="10" defaultRowHeight="14.4" x14ac:dyDescent="0.3"/>
  <cols>
    <col min="2" max="2" width="17.44140625" customWidth="1"/>
    <col min="5" max="5" width="13.33203125" customWidth="1"/>
  </cols>
  <sheetData>
    <row r="1" spans="1:6" ht="28.5" customHeight="1" x14ac:dyDescent="0.3">
      <c r="A1" s="1"/>
      <c r="B1" s="5" t="s">
        <v>1</v>
      </c>
      <c r="C1" s="22" t="s">
        <v>35</v>
      </c>
      <c r="D1" s="23"/>
      <c r="E1" s="23"/>
      <c r="F1" s="24"/>
    </row>
    <row r="2" spans="1:6" ht="26.25" customHeight="1" x14ac:dyDescent="0.3">
      <c r="A2" s="1"/>
      <c r="B2" s="1"/>
    </row>
    <row r="3" spans="1:6" x14ac:dyDescent="0.3">
      <c r="A3" s="20" t="s">
        <v>0</v>
      </c>
      <c r="B3" s="20"/>
      <c r="C3" s="2">
        <v>218300</v>
      </c>
    </row>
    <row r="4" spans="1:6" x14ac:dyDescent="0.3">
      <c r="A4" s="4"/>
      <c r="B4" s="4"/>
    </row>
    <row r="5" spans="1:6" x14ac:dyDescent="0.3">
      <c r="A5" s="20" t="s">
        <v>2</v>
      </c>
      <c r="B5" s="20"/>
      <c r="C5" s="25">
        <v>45293</v>
      </c>
      <c r="E5" s="4" t="s">
        <v>7</v>
      </c>
      <c r="F5" s="2"/>
    </row>
    <row r="6" spans="1:6" x14ac:dyDescent="0.3">
      <c r="A6" s="20" t="s">
        <v>3</v>
      </c>
      <c r="B6" s="20"/>
      <c r="C6" s="25">
        <v>45316</v>
      </c>
      <c r="E6" s="4" t="s">
        <v>8</v>
      </c>
      <c r="F6" s="2"/>
    </row>
    <row r="7" spans="1:6" x14ac:dyDescent="0.3">
      <c r="A7" s="20" t="s">
        <v>4</v>
      </c>
      <c r="B7" s="20"/>
      <c r="C7" s="11">
        <v>9000</v>
      </c>
    </row>
    <row r="8" spans="1:6" x14ac:dyDescent="0.3">
      <c r="A8" s="20" t="s">
        <v>5</v>
      </c>
      <c r="B8" s="20"/>
      <c r="C8" s="2" t="s">
        <v>16</v>
      </c>
    </row>
    <row r="9" spans="1:6" x14ac:dyDescent="0.3">
      <c r="A9" s="20" t="s">
        <v>17</v>
      </c>
      <c r="B9" s="20"/>
      <c r="C9" s="26">
        <f>IF(C6 = "", "", C6)</f>
        <v>45316</v>
      </c>
      <c r="D9" s="5"/>
    </row>
    <row r="10" spans="1:6" x14ac:dyDescent="0.3">
      <c r="A10" s="20" t="s">
        <v>6</v>
      </c>
      <c r="B10" s="20"/>
      <c r="C10" s="2">
        <v>5</v>
      </c>
      <c r="D10" s="5" t="s">
        <v>9</v>
      </c>
      <c r="E10" s="27">
        <f>IF(C10 =  "", "", 1/C10)</f>
        <v>0.2</v>
      </c>
    </row>
    <row r="13" spans="1:6" x14ac:dyDescent="0.3">
      <c r="A13" s="21" t="s">
        <v>10</v>
      </c>
      <c r="B13" s="21"/>
      <c r="C13" s="21"/>
      <c r="D13" s="21"/>
      <c r="E13" s="21"/>
    </row>
    <row r="15" spans="1:6" ht="28.8" x14ac:dyDescent="0.3">
      <c r="A15" s="3" t="s">
        <v>11</v>
      </c>
      <c r="B15" s="3" t="s">
        <v>12</v>
      </c>
      <c r="C15" s="3" t="s">
        <v>13</v>
      </c>
      <c r="D15" s="3" t="s">
        <v>14</v>
      </c>
      <c r="E15" s="3" t="s">
        <v>15</v>
      </c>
    </row>
    <row r="16" spans="1:6" x14ac:dyDescent="0.3">
      <c r="A16" s="12">
        <f>B17</f>
        <v>0</v>
      </c>
      <c r="B16" s="12" t="s">
        <v>31</v>
      </c>
      <c r="C16" s="12" t="e" cm="1">
        <f t="array" aca="1" ref="C16" ca="1">JOUR360(C6,A16,TRUE)</f>
        <v>#NAME?</v>
      </c>
      <c r="D16" s="12" t="s">
        <v>32</v>
      </c>
      <c r="E16" s="12" t="s">
        <v>33</v>
      </c>
    </row>
  </sheetData>
  <mergeCells count="9">
    <mergeCell ref="A9:B9"/>
    <mergeCell ref="A10:B10"/>
    <mergeCell ref="A13:E13"/>
    <mergeCell ref="C1:F1"/>
    <mergeCell ref="A3:B3"/>
    <mergeCell ref="A5:B5"/>
    <mergeCell ref="A6:B6"/>
    <mergeCell ref="A7:B7"/>
    <mergeCell ref="A8:B8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G1"/>
  <sheetViews>
    <sheetView workbookViewId="0">
      <selection activeCell="A2" sqref="A2"/>
    </sheetView>
  </sheetViews>
  <sheetFormatPr baseColWidth="10" defaultRowHeight="14.4" x14ac:dyDescent="0.3"/>
  <cols>
    <col min="1" max="1" width="14.44140625" style="14" customWidth="1"/>
    <col min="2" max="2" width="33.6640625" style="10" customWidth="1"/>
    <col min="3" max="3" width="13.33203125" style="10" customWidth="1"/>
    <col min="4" max="4" width="13.33203125" style="14" customWidth="1"/>
    <col min="5" max="5" width="13.33203125" style="10" customWidth="1"/>
    <col min="6" max="6" width="15.33203125" style="17" customWidth="1"/>
    <col min="7" max="7" width="11.44140625" style="16"/>
  </cols>
  <sheetData>
    <row r="1" spans="1:7" s="9" customFormat="1" ht="28.8" x14ac:dyDescent="0.3">
      <c r="A1" s="13" t="s">
        <v>24</v>
      </c>
      <c r="B1" s="8" t="s">
        <v>25</v>
      </c>
      <c r="C1" s="8" t="s">
        <v>26</v>
      </c>
      <c r="D1" s="13" t="s">
        <v>27</v>
      </c>
      <c r="E1" s="8" t="s">
        <v>28</v>
      </c>
      <c r="F1" s="8" t="s">
        <v>29</v>
      </c>
      <c r="G1" s="1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Formulaire</vt:lpstr>
      <vt:lpstr>fiche immo</vt:lpstr>
      <vt:lpstr>liste des immo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Paulo MARTINS LEITAO COELHO</cp:lastModifiedBy>
  <dcterms:created xsi:type="dcterms:W3CDTF">2019-03-24T09:18:05Z</dcterms:created>
  <dcterms:modified xsi:type="dcterms:W3CDTF">2024-02-07T13:33:46Z</dcterms:modified>
</cp:coreProperties>
</file>
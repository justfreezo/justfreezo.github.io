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eezo\Documents\Cours\BUT2\PeriodeC\MASI\TD2\"/>
    </mc:Choice>
  </mc:AlternateContent>
  <xr:revisionPtr revIDLastSave="0" documentId="13_ncr:1_{AE0D9CF4-8C38-4911-8D54-AB0A0A1A59A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Formulaire" sheetId="2" r:id="rId1"/>
    <sheet name="fiche immo" sheetId="1" r:id="rId2"/>
    <sheet name="liste des immo" sheetId="3" r:id="rId3"/>
    <sheet name="ordinateur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8" l="1"/>
  <c r="C9" i="8"/>
  <c r="C17" i="1"/>
  <c r="C16" i="1"/>
  <c r="A16" i="1"/>
  <c r="E33" i="1"/>
  <c r="E34" i="1"/>
  <c r="E35" i="1"/>
  <c r="E36" i="1"/>
  <c r="D33" i="1"/>
  <c r="D34" i="1"/>
  <c r="D35" i="1"/>
  <c r="D36" i="1"/>
  <c r="C33" i="1"/>
  <c r="C34" i="1"/>
  <c r="C35" i="1"/>
  <c r="C36" i="1"/>
  <c r="B33" i="1"/>
  <c r="B34" i="1"/>
  <c r="A17" i="1"/>
  <c r="A18" i="1" s="1"/>
  <c r="A19" i="1" s="1"/>
  <c r="A20" i="1" s="1"/>
  <c r="A21" i="1" s="1"/>
  <c r="A22" i="1"/>
  <c r="E22" i="1" s="1"/>
  <c r="A23" i="1"/>
  <c r="B23" i="1" s="1"/>
  <c r="A24" i="1"/>
  <c r="B24" i="1" s="1"/>
  <c r="A25" i="1"/>
  <c r="B25" i="1" s="1"/>
  <c r="A26" i="1"/>
  <c r="C26" i="1" s="1"/>
  <c r="A27" i="1"/>
  <c r="E27" i="1" s="1"/>
  <c r="A28" i="1"/>
  <c r="E28" i="1" s="1"/>
  <c r="A29" i="1"/>
  <c r="D29" i="1" s="1"/>
  <c r="A30" i="1"/>
  <c r="B30" i="1" s="1"/>
  <c r="A31" i="1"/>
  <c r="E31" i="1" s="1"/>
  <c r="A32" i="1"/>
  <c r="C32" i="1" s="1"/>
  <c r="A33" i="1"/>
  <c r="A34" i="1"/>
  <c r="A35" i="1"/>
  <c r="B35" i="1" s="1"/>
  <c r="A36" i="1"/>
  <c r="B36" i="1" s="1"/>
  <c r="E10" i="1"/>
  <c r="C9" i="1"/>
  <c r="A28" i="8" l="1"/>
  <c r="E28" i="8" s="1"/>
  <c r="A31" i="8"/>
  <c r="E31" i="8" s="1"/>
  <c r="A34" i="8"/>
  <c r="E34" i="8"/>
  <c r="D34" i="8"/>
  <c r="B34" i="8"/>
  <c r="C34" i="8"/>
  <c r="B31" i="8"/>
  <c r="B28" i="8"/>
  <c r="C31" i="8"/>
  <c r="A35" i="8"/>
  <c r="A16" i="8"/>
  <c r="A32" i="8"/>
  <c r="A29" i="8"/>
  <c r="A36" i="8"/>
  <c r="A17" i="8"/>
  <c r="A33" i="8"/>
  <c r="A30" i="8"/>
  <c r="A27" i="8"/>
  <c r="B31" i="1"/>
  <c r="D31" i="1"/>
  <c r="B28" i="1"/>
  <c r="E30" i="1"/>
  <c r="C29" i="1"/>
  <c r="C25" i="1"/>
  <c r="D25" i="1"/>
  <c r="E25" i="1"/>
  <c r="D24" i="1"/>
  <c r="E24" i="1"/>
  <c r="E32" i="1"/>
  <c r="E29" i="1"/>
  <c r="B26" i="1"/>
  <c r="D26" i="1"/>
  <c r="C24" i="1"/>
  <c r="B16" i="1"/>
  <c r="E16" i="1" s="1"/>
  <c r="B17" i="1" s="1"/>
  <c r="C23" i="1"/>
  <c r="D23" i="1"/>
  <c r="E23" i="1"/>
  <c r="D32" i="1"/>
  <c r="B29" i="1"/>
  <c r="C31" i="1"/>
  <c r="C30" i="1"/>
  <c r="D30" i="1"/>
  <c r="B27" i="1"/>
  <c r="C27" i="1"/>
  <c r="D27" i="1"/>
  <c r="E26" i="1"/>
  <c r="B22" i="1"/>
  <c r="C22" i="1"/>
  <c r="D22" i="1"/>
  <c r="B32" i="1"/>
  <c r="C28" i="1"/>
  <c r="D28" i="1"/>
  <c r="D16" i="1"/>
  <c r="D28" i="8" l="1"/>
  <c r="D31" i="8"/>
  <c r="C28" i="8"/>
  <c r="B27" i="8"/>
  <c r="E27" i="8"/>
  <c r="D27" i="8"/>
  <c r="C27" i="8"/>
  <c r="C30" i="8"/>
  <c r="B30" i="8"/>
  <c r="E30" i="8"/>
  <c r="D30" i="8"/>
  <c r="D33" i="8"/>
  <c r="C33" i="8"/>
  <c r="B33" i="8"/>
  <c r="E33" i="8"/>
  <c r="E36" i="8"/>
  <c r="C36" i="8"/>
  <c r="B36" i="8"/>
  <c r="D36" i="8"/>
  <c r="E32" i="8"/>
  <c r="D32" i="8"/>
  <c r="C32" i="8"/>
  <c r="B32" i="8"/>
  <c r="A18" i="8"/>
  <c r="E29" i="8"/>
  <c r="D29" i="8"/>
  <c r="C29" i="8"/>
  <c r="B29" i="8"/>
  <c r="C16" i="8"/>
  <c r="D16" i="8" s="1"/>
  <c r="B16" i="8"/>
  <c r="E35" i="8"/>
  <c r="D35" i="8"/>
  <c r="C35" i="8"/>
  <c r="B35" i="8"/>
  <c r="D17" i="1"/>
  <c r="E16" i="8" l="1"/>
  <c r="B17" i="8" s="1"/>
  <c r="C17" i="8" s="1"/>
  <c r="E17" i="8" s="1"/>
  <c r="B18" i="8" s="1"/>
  <c r="C18" i="8" s="1"/>
  <c r="A19" i="8"/>
  <c r="E17" i="1"/>
  <c r="B18" i="1" s="1"/>
  <c r="D17" i="8" l="1"/>
  <c r="D18" i="8" s="1"/>
  <c r="A20" i="8"/>
  <c r="E18" i="8"/>
  <c r="B19" i="8" s="1"/>
  <c r="C18" i="1"/>
  <c r="D18" i="1" s="1"/>
  <c r="C19" i="8" l="1"/>
  <c r="D19" i="8" s="1"/>
  <c r="A21" i="8"/>
  <c r="A22" i="8" s="1"/>
  <c r="E18" i="1"/>
  <c r="B19" i="1" s="1"/>
  <c r="C19" i="1" s="1"/>
  <c r="D19" i="1" s="1"/>
  <c r="A23" i="8" l="1"/>
  <c r="E19" i="8"/>
  <c r="B20" i="8" s="1"/>
  <c r="E19" i="1"/>
  <c r="B20" i="1" s="1"/>
  <c r="A24" i="8" l="1"/>
  <c r="C20" i="8"/>
  <c r="D20" i="8" s="1"/>
  <c r="C20" i="1"/>
  <c r="D20" i="1" s="1"/>
  <c r="A25" i="8" l="1"/>
  <c r="E20" i="8"/>
  <c r="B21" i="8" s="1"/>
  <c r="E20" i="1"/>
  <c r="B21" i="1" s="1"/>
  <c r="C21" i="1" s="1"/>
  <c r="E21" i="1" s="1"/>
  <c r="A26" i="8" l="1"/>
  <c r="C21" i="8"/>
  <c r="D21" i="8" s="1"/>
  <c r="D21" i="1"/>
  <c r="E21" i="8" l="1"/>
  <c r="B22" i="8" s="1"/>
  <c r="C22" i="8" l="1"/>
  <c r="D22" i="8" s="1"/>
  <c r="E22" i="8" l="1"/>
  <c r="B23" i="8" s="1"/>
  <c r="C23" i="8" l="1"/>
  <c r="D23" i="8" s="1"/>
  <c r="E23" i="8" l="1"/>
  <c r="B24" i="8" s="1"/>
  <c r="C24" i="8" l="1"/>
  <c r="D24" i="8" s="1"/>
  <c r="E24" i="8" l="1"/>
  <c r="B25" i="8" s="1"/>
  <c r="C25" i="8" l="1"/>
  <c r="D25" i="8" s="1"/>
  <c r="E25" i="8" l="1"/>
  <c r="B26" i="8" s="1"/>
  <c r="C26" i="8" l="1"/>
  <c r="D26" i="8" s="1"/>
  <c r="E26" i="8" l="1"/>
</calcChain>
</file>

<file path=xl/sharedStrings.xml><?xml version="1.0" encoding="utf-8"?>
<sst xmlns="http://schemas.openxmlformats.org/spreadsheetml/2006/main" count="58" uniqueCount="35">
  <si>
    <t>compte comptable :</t>
  </si>
  <si>
    <t>Désignation :</t>
  </si>
  <si>
    <t>Date achat :</t>
  </si>
  <si>
    <t>Date mise en service :</t>
  </si>
  <si>
    <t>montant à amortir</t>
  </si>
  <si>
    <t>type amortissement :</t>
  </si>
  <si>
    <t>durée :</t>
  </si>
  <si>
    <t>Date cession</t>
  </si>
  <si>
    <t>motif cession</t>
  </si>
  <si>
    <t>taux :</t>
  </si>
  <si>
    <t>plan amortissement</t>
  </si>
  <si>
    <t>Date fin exercice</t>
  </si>
  <si>
    <t>VNC début exercice</t>
  </si>
  <si>
    <t>Annuité</t>
  </si>
  <si>
    <t>Amortisst cumulé</t>
  </si>
  <si>
    <t>VNC fin exercice</t>
  </si>
  <si>
    <t>LINEAIRE</t>
  </si>
  <si>
    <t>Date début amortisst :</t>
  </si>
  <si>
    <t>Formulaire de saisie d'une nouvelle immobilisation</t>
  </si>
  <si>
    <t>Compte comptable :</t>
  </si>
  <si>
    <t>Date d'acquisition :</t>
  </si>
  <si>
    <t>Durée :</t>
  </si>
  <si>
    <t>Type d'amortissement :</t>
  </si>
  <si>
    <t>Montant :</t>
  </si>
  <si>
    <t>date d'acquisition</t>
  </si>
  <si>
    <t>Désignation</t>
  </si>
  <si>
    <t>compte comptable</t>
  </si>
  <si>
    <t>date mise en service</t>
  </si>
  <si>
    <t>durée</t>
  </si>
  <si>
    <t>type d'amortissement</t>
  </si>
  <si>
    <t>Montant</t>
  </si>
  <si>
    <t>linéaire</t>
  </si>
  <si>
    <t>ordinateur</t>
  </si>
  <si>
    <t>lineaire</t>
  </si>
  <si>
    <t>casques virtuels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</si>
</sst>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_€_-;\-* #,##0.00\ _€_-;_-* &quot;-&quot;??\ _€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right"/>
    </xf>
    <xf numFmtId="0" fontId="0" fillId="0" borderId="5" xfId="0" applyBorder="1"/>
    <xf numFmtId="0" fontId="0" fillId="2" borderId="1" xfId="0" applyFill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8" xfId="0" applyBorder="1"/>
    <xf numFmtId="0" fontId="4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5" xfId="0" quotePrefix="1" applyBorder="1"/>
    <xf numFmtId="0" fontId="0" fillId="0" borderId="0" xfId="0" quotePrefix="1"/>
    <xf numFmtId="14" fontId="1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4" fontId="1" fillId="2" borderId="1" xfId="0" applyNumberFormat="1" applyFont="1" applyFill="1" applyBorder="1" applyAlignment="1">
      <alignment horizontal="center" vertical="center" wrapText="1"/>
    </xf>
    <xf numFmtId="44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5" xfId="0" applyNumberFormat="1" applyBorder="1"/>
    <xf numFmtId="14" fontId="0" fillId="0" borderId="5" xfId="0" quotePrefix="1" applyNumberFormat="1" applyBorder="1"/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14" fontId="0" fillId="3" borderId="6" xfId="0" applyNumberFormat="1" applyFill="1" applyBorder="1" applyAlignment="1" applyProtection="1">
      <alignment horizontal="center"/>
      <protection locked="0"/>
    </xf>
    <xf numFmtId="164" fontId="0" fillId="3" borderId="6" xfId="1" applyFont="1" applyFill="1" applyBorder="1" applyProtection="1">
      <protection locked="0"/>
    </xf>
    <xf numFmtId="0" fontId="0" fillId="0" borderId="6" xfId="0" applyFill="1" applyBorder="1"/>
    <xf numFmtId="14" fontId="0" fillId="0" borderId="0" xfId="0" quotePrefix="1" applyNumberFormat="1"/>
    <xf numFmtId="2" fontId="0" fillId="0" borderId="0" xfId="0" quotePrefix="1" applyNumberFormat="1"/>
    <xf numFmtId="10" fontId="0" fillId="0" borderId="5" xfId="2" quotePrefix="1" applyNumberFormat="1" applyFont="1" applyBorder="1"/>
    <xf numFmtId="14" fontId="0" fillId="3" borderId="7" xfId="0" applyNumberFormat="1" applyFill="1" applyBorder="1" applyAlignment="1" applyProtection="1">
      <alignment horizontal="center"/>
      <protection locked="0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777240</xdr:colOff>
          <xdr:row>17</xdr:row>
          <xdr:rowOff>182880</xdr:rowOff>
        </xdr:from>
        <xdr:to>
          <xdr:col>3</xdr:col>
          <xdr:colOff>45720</xdr:colOff>
          <xdr:row>19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358140</xdr:colOff>
          <xdr:row>17</xdr:row>
          <xdr:rowOff>182880</xdr:rowOff>
        </xdr:from>
        <xdr:to>
          <xdr:col>4</xdr:col>
          <xdr:colOff>594360</xdr:colOff>
          <xdr:row>19</xdr:row>
          <xdr:rowOff>91440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4B38833-02D9-E3A0-F47D-AD8DAB314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Annuler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21"/>
  <sheetViews>
    <sheetView showGridLines="0" workbookViewId="0">
      <selection activeCell="B5" sqref="B5:E5"/>
    </sheetView>
  </sheetViews>
  <sheetFormatPr baseColWidth="10" defaultRowHeight="14.4" x14ac:dyDescent="0.3"/>
  <cols>
    <col min="1" max="1" width="23.5546875" customWidth="1"/>
    <col min="2" max="2" width="14.109375" customWidth="1"/>
    <col min="8" max="8" width="11.5546875" customWidth="1"/>
  </cols>
  <sheetData>
    <row r="2" spans="1:5" ht="15.6" x14ac:dyDescent="0.3">
      <c r="A2" s="19" t="s">
        <v>18</v>
      </c>
      <c r="B2" s="19"/>
      <c r="C2" s="19"/>
      <c r="D2" s="19"/>
      <c r="E2" s="19"/>
    </row>
    <row r="5" spans="1:5" ht="15" thickBot="1" x14ac:dyDescent="0.35">
      <c r="A5" s="1" t="s">
        <v>1</v>
      </c>
      <c r="B5" s="27"/>
      <c r="C5" s="28"/>
      <c r="D5" s="28"/>
      <c r="E5" s="28"/>
    </row>
    <row r="6" spans="1:5" ht="15" thickTop="1" x14ac:dyDescent="0.3">
      <c r="A6" s="1"/>
      <c r="B6" s="6"/>
      <c r="C6" s="6"/>
      <c r="D6" s="6"/>
      <c r="E6" s="6"/>
    </row>
    <row r="7" spans="1:5" ht="15" thickBot="1" x14ac:dyDescent="0.35">
      <c r="A7" s="1" t="s">
        <v>19</v>
      </c>
      <c r="B7" s="27"/>
      <c r="C7" s="28"/>
      <c r="D7" s="28"/>
      <c r="E7" s="28"/>
    </row>
    <row r="8" spans="1:5" ht="15" thickTop="1" x14ac:dyDescent="0.3">
      <c r="A8" s="1"/>
      <c r="B8" s="6"/>
      <c r="C8" s="6"/>
      <c r="D8" s="6"/>
      <c r="E8" s="6"/>
    </row>
    <row r="9" spans="1:5" ht="15" thickBot="1" x14ac:dyDescent="0.35">
      <c r="A9" s="1" t="s">
        <v>20</v>
      </c>
      <c r="B9" s="29"/>
      <c r="C9" s="35"/>
      <c r="D9" s="35"/>
      <c r="E9" s="35"/>
    </row>
    <row r="10" spans="1:5" ht="15" thickTop="1" x14ac:dyDescent="0.3">
      <c r="A10" s="1"/>
      <c r="B10" s="6"/>
      <c r="C10" s="6"/>
      <c r="D10" s="6"/>
      <c r="E10" s="6"/>
    </row>
    <row r="11" spans="1:5" ht="15" thickBot="1" x14ac:dyDescent="0.35">
      <c r="A11" s="1" t="s">
        <v>3</v>
      </c>
      <c r="B11" s="29"/>
      <c r="C11" s="35"/>
      <c r="D11" s="35"/>
      <c r="E11" s="35"/>
    </row>
    <row r="12" spans="1:5" ht="15" thickTop="1" x14ac:dyDescent="0.3">
      <c r="A12" s="1"/>
      <c r="B12" s="6"/>
      <c r="C12" s="6"/>
      <c r="D12" s="6"/>
      <c r="E12" s="6"/>
    </row>
    <row r="13" spans="1:5" ht="15" thickBot="1" x14ac:dyDescent="0.35">
      <c r="A13" s="1" t="s">
        <v>21</v>
      </c>
      <c r="B13" s="27"/>
      <c r="C13" s="28"/>
      <c r="D13" s="28"/>
      <c r="E13" s="28"/>
    </row>
    <row r="14" spans="1:5" ht="15" thickTop="1" x14ac:dyDescent="0.3">
      <c r="B14" s="18"/>
      <c r="C14" s="18"/>
      <c r="D14" s="18"/>
      <c r="E14" s="18"/>
    </row>
    <row r="15" spans="1:5" ht="15" thickBot="1" x14ac:dyDescent="0.35">
      <c r="A15" s="1" t="s">
        <v>22</v>
      </c>
      <c r="B15" s="31" t="s">
        <v>31</v>
      </c>
    </row>
    <row r="16" spans="1:5" ht="15" thickTop="1" x14ac:dyDescent="0.3"/>
    <row r="17" spans="1:3" ht="15" thickBot="1" x14ac:dyDescent="0.35">
      <c r="A17" s="1" t="s">
        <v>23</v>
      </c>
      <c r="B17" s="30"/>
    </row>
    <row r="18" spans="1:3" ht="15" thickTop="1" x14ac:dyDescent="0.3"/>
    <row r="21" spans="1:3" x14ac:dyDescent="0.3">
      <c r="C21" s="7"/>
    </row>
  </sheetData>
  <sheetProtection selectLockedCells="1"/>
  <mergeCells count="7">
    <mergeCell ref="B14:E14"/>
    <mergeCell ref="A2:E2"/>
    <mergeCell ref="B5:E5"/>
    <mergeCell ref="B7:E7"/>
    <mergeCell ref="B9:E9"/>
    <mergeCell ref="B11:E11"/>
    <mergeCell ref="B13:E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er">
                <anchor moveWithCells="1">
                  <from>
                    <xdr:col>1</xdr:col>
                    <xdr:colOff>777240</xdr:colOff>
                    <xdr:row>17</xdr:row>
                    <xdr:rowOff>182880</xdr:rowOff>
                  </from>
                  <to>
                    <xdr:col>3</xdr:col>
                    <xdr:colOff>45720</xdr:colOff>
                    <xdr:row>19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raseForm">
                <anchor moveWithCells="1">
                  <from>
                    <xdr:col>3</xdr:col>
                    <xdr:colOff>358140</xdr:colOff>
                    <xdr:row>17</xdr:row>
                    <xdr:rowOff>182880</xdr:rowOff>
                  </from>
                  <to>
                    <xdr:col>4</xdr:col>
                    <xdr:colOff>594360</xdr:colOff>
                    <xdr:row>19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36"/>
  <sheetViews>
    <sheetView workbookViewId="0">
      <selection activeCell="H19" sqref="H19"/>
    </sheetView>
  </sheetViews>
  <sheetFormatPr baseColWidth="10" defaultRowHeight="14.4" x14ac:dyDescent="0.3"/>
  <cols>
    <col min="2" max="2" width="17.44140625" customWidth="1"/>
    <col min="5" max="5" width="13.33203125" customWidth="1"/>
  </cols>
  <sheetData>
    <row r="1" spans="1:6" ht="28.5" customHeight="1" x14ac:dyDescent="0.3">
      <c r="A1" s="1"/>
      <c r="B1" s="5" t="s">
        <v>1</v>
      </c>
      <c r="C1" s="22" t="s">
        <v>32</v>
      </c>
      <c r="D1" s="23"/>
      <c r="E1" s="23"/>
      <c r="F1" s="24"/>
    </row>
    <row r="2" spans="1:6" ht="26.25" customHeight="1" x14ac:dyDescent="0.3">
      <c r="A2" s="1"/>
      <c r="B2" s="1"/>
    </row>
    <row r="3" spans="1:6" x14ac:dyDescent="0.3">
      <c r="A3" s="20" t="s">
        <v>0</v>
      </c>
      <c r="B3" s="20"/>
      <c r="C3" s="2">
        <v>218300</v>
      </c>
    </row>
    <row r="4" spans="1:6" x14ac:dyDescent="0.3">
      <c r="A4" s="4"/>
      <c r="B4" s="4"/>
    </row>
    <row r="5" spans="1:6" x14ac:dyDescent="0.3">
      <c r="A5" s="20" t="s">
        <v>2</v>
      </c>
      <c r="B5" s="20"/>
      <c r="C5" s="25">
        <v>45293</v>
      </c>
      <c r="E5" s="4" t="s">
        <v>7</v>
      </c>
      <c r="F5" s="2"/>
    </row>
    <row r="6" spans="1:6" x14ac:dyDescent="0.3">
      <c r="A6" s="20" t="s">
        <v>3</v>
      </c>
      <c r="B6" s="20"/>
      <c r="C6" s="25">
        <v>45316</v>
      </c>
      <c r="E6" s="4" t="s">
        <v>8</v>
      </c>
      <c r="F6" s="2"/>
    </row>
    <row r="7" spans="1:6" x14ac:dyDescent="0.3">
      <c r="A7" s="20" t="s">
        <v>4</v>
      </c>
      <c r="B7" s="20"/>
      <c r="C7" s="11">
        <v>9000</v>
      </c>
    </row>
    <row r="8" spans="1:6" x14ac:dyDescent="0.3">
      <c r="A8" s="20" t="s">
        <v>5</v>
      </c>
      <c r="B8" s="20"/>
      <c r="C8" s="2" t="s">
        <v>16</v>
      </c>
    </row>
    <row r="9" spans="1:6" x14ac:dyDescent="0.3">
      <c r="A9" s="20" t="s">
        <v>17</v>
      </c>
      <c r="B9" s="20"/>
      <c r="C9" s="26">
        <f>IF(C6 = "", "", C6)</f>
        <v>45316</v>
      </c>
      <c r="D9" s="5"/>
    </row>
    <row r="10" spans="1:6" x14ac:dyDescent="0.3">
      <c r="A10" s="20" t="s">
        <v>6</v>
      </c>
      <c r="B10" s="20"/>
      <c r="C10" s="2">
        <v>5</v>
      </c>
      <c r="D10" s="5" t="s">
        <v>9</v>
      </c>
      <c r="E10" s="34">
        <f>IF(C10 =  "", "", 1/C10)</f>
        <v>0.2</v>
      </c>
    </row>
    <row r="13" spans="1:6" x14ac:dyDescent="0.3">
      <c r="A13" s="21" t="s">
        <v>10</v>
      </c>
      <c r="B13" s="21"/>
      <c r="C13" s="21"/>
      <c r="D13" s="21"/>
      <c r="E13" s="21"/>
    </row>
    <row r="15" spans="1:6" ht="28.8" x14ac:dyDescent="0.3">
      <c r="A15" s="3" t="s">
        <v>11</v>
      </c>
      <c r="B15" s="3" t="s">
        <v>12</v>
      </c>
      <c r="C15" s="3" t="s">
        <v>13</v>
      </c>
      <c r="D15" s="3" t="s">
        <v>14</v>
      </c>
      <c r="E15" s="3" t="s">
        <v>15</v>
      </c>
    </row>
    <row r="16" spans="1:6" x14ac:dyDescent="0.3">
      <c r="A16" s="32">
        <f>IF(OR($C$7="",$C$9="",$C$10=""),"",IF(ROW()=16,DATE(YEAR($C$9),12,31), IF(ROW()-16&gt;$C$10,"",DATE(YEAR(A15)+1,12,31))))</f>
        <v>45657</v>
      </c>
      <c r="B16" s="33">
        <f>IF(A16="","",IF(ROW()=16,$C$7,E15))</f>
        <v>9000</v>
      </c>
      <c r="C16" s="33">
        <f>IF(A16="","",IF(ROW()=16,($C$7*$E$10)* (DAYS360($C$9,A16,TRUE)/360), IF(B16&gt;$C$7*$E$10,$C$7*$E$10,B16)))</f>
        <v>1675</v>
      </c>
      <c r="D16" s="33">
        <f>IF(A16  = "", "", IF(ROW() = 16, C16, D15  + C16))</f>
        <v>1675</v>
      </c>
      <c r="E16" s="33">
        <f>IF(A16 = "", "", B16 - C16)</f>
        <v>7325</v>
      </c>
    </row>
    <row r="17" spans="1:5" x14ac:dyDescent="0.3">
      <c r="A17" s="32">
        <f t="shared" ref="A17:A36" si="0">IF(OR($C$7="",$C$9="",$C$10=""),"",IF(ROW()=16,DATE(YEAR($C$9),12,31), IF(ROW()-16&gt;$C$10,"",DATE(YEAR(A16)+1,12,31))))</f>
        <v>46022</v>
      </c>
      <c r="B17" s="33">
        <f t="shared" ref="B17:B36" si="1">IF(A17="","",IF(ROW()=16,$C$7,E16))</f>
        <v>7325</v>
      </c>
      <c r="C17" s="33">
        <f>IF(A17="","",IF(ROW()=16,($C$7*$E$10)* (DAYS360($C$9,A17,TRUE)/360), IF(B17&gt;$C$7*$E$10,$C$7*$E$10,B17)))</f>
        <v>1800</v>
      </c>
      <c r="D17" s="33">
        <f t="shared" ref="D17:D36" si="2">IF(A17  = "", "", IF(ROW() = 16, C17, D16  + C17))</f>
        <v>3475</v>
      </c>
      <c r="E17" s="33">
        <f t="shared" ref="E17:E36" si="3">IF(A17 = "", "", B17 - C17)</f>
        <v>5525</v>
      </c>
    </row>
    <row r="18" spans="1:5" x14ac:dyDescent="0.3">
      <c r="A18" s="32">
        <f t="shared" si="0"/>
        <v>46387</v>
      </c>
      <c r="B18" s="33">
        <f t="shared" si="1"/>
        <v>5525</v>
      </c>
      <c r="C18" s="33">
        <f t="shared" ref="C17:C36" si="4">IF(A18="","",IF(ROW()=16,($C$7*$E$10)* (DAYS360($C$9,A18)/360), IF(B18&gt;$C$7*$E$10,$C$7*$E$10,B18)))</f>
        <v>1800</v>
      </c>
      <c r="D18" s="33">
        <f t="shared" si="2"/>
        <v>5275</v>
      </c>
      <c r="E18" s="33">
        <f t="shared" si="3"/>
        <v>3725</v>
      </c>
    </row>
    <row r="19" spans="1:5" x14ac:dyDescent="0.3">
      <c r="A19" s="32">
        <f t="shared" si="0"/>
        <v>46752</v>
      </c>
      <c r="B19" s="33">
        <f t="shared" si="1"/>
        <v>3725</v>
      </c>
      <c r="C19" s="33">
        <f t="shared" si="4"/>
        <v>1800</v>
      </c>
      <c r="D19" s="33">
        <f t="shared" si="2"/>
        <v>7075</v>
      </c>
      <c r="E19" s="33">
        <f t="shared" si="3"/>
        <v>1925</v>
      </c>
    </row>
    <row r="20" spans="1:5" x14ac:dyDescent="0.3">
      <c r="A20" s="32">
        <f t="shared" si="0"/>
        <v>47118</v>
      </c>
      <c r="B20" s="33">
        <f t="shared" si="1"/>
        <v>1925</v>
      </c>
      <c r="C20" s="33">
        <f t="shared" si="4"/>
        <v>1800</v>
      </c>
      <c r="D20" s="33">
        <f t="shared" si="2"/>
        <v>8875</v>
      </c>
      <c r="E20" s="33">
        <f t="shared" si="3"/>
        <v>125</v>
      </c>
    </row>
    <row r="21" spans="1:5" x14ac:dyDescent="0.3">
      <c r="A21" s="32">
        <f t="shared" si="0"/>
        <v>47483</v>
      </c>
      <c r="B21" s="33">
        <f t="shared" si="1"/>
        <v>125</v>
      </c>
      <c r="C21" s="33">
        <f t="shared" si="4"/>
        <v>125</v>
      </c>
      <c r="D21" s="33">
        <f t="shared" si="2"/>
        <v>9000</v>
      </c>
      <c r="E21" s="33">
        <f t="shared" si="3"/>
        <v>0</v>
      </c>
    </row>
    <row r="22" spans="1:5" x14ac:dyDescent="0.3">
      <c r="A22" s="32" t="str">
        <f t="shared" si="0"/>
        <v/>
      </c>
      <c r="B22" s="33" t="str">
        <f t="shared" si="1"/>
        <v/>
      </c>
      <c r="C22" s="33" t="str">
        <f t="shared" si="4"/>
        <v/>
      </c>
      <c r="D22" s="12" t="str">
        <f t="shared" si="2"/>
        <v/>
      </c>
      <c r="E22" s="12" t="str">
        <f t="shared" si="3"/>
        <v/>
      </c>
    </row>
    <row r="23" spans="1:5" x14ac:dyDescent="0.3">
      <c r="A23" s="32" t="str">
        <f t="shared" si="0"/>
        <v/>
      </c>
      <c r="B23" s="33" t="str">
        <f t="shared" si="1"/>
        <v/>
      </c>
      <c r="C23" s="33" t="str">
        <f t="shared" si="4"/>
        <v/>
      </c>
      <c r="D23" s="12" t="str">
        <f t="shared" si="2"/>
        <v/>
      </c>
      <c r="E23" s="12" t="str">
        <f t="shared" si="3"/>
        <v/>
      </c>
    </row>
    <row r="24" spans="1:5" x14ac:dyDescent="0.3">
      <c r="A24" s="32" t="str">
        <f t="shared" si="0"/>
        <v/>
      </c>
      <c r="B24" s="33" t="str">
        <f t="shared" si="1"/>
        <v/>
      </c>
      <c r="C24" s="33" t="str">
        <f t="shared" si="4"/>
        <v/>
      </c>
      <c r="D24" s="12" t="str">
        <f t="shared" si="2"/>
        <v/>
      </c>
      <c r="E24" s="12" t="str">
        <f t="shared" si="3"/>
        <v/>
      </c>
    </row>
    <row r="25" spans="1:5" x14ac:dyDescent="0.3">
      <c r="A25" s="32" t="str">
        <f t="shared" si="0"/>
        <v/>
      </c>
      <c r="B25" s="33" t="str">
        <f t="shared" si="1"/>
        <v/>
      </c>
      <c r="C25" s="33" t="str">
        <f t="shared" si="4"/>
        <v/>
      </c>
      <c r="D25" s="12" t="str">
        <f t="shared" si="2"/>
        <v/>
      </c>
      <c r="E25" s="12" t="str">
        <f t="shared" si="3"/>
        <v/>
      </c>
    </row>
    <row r="26" spans="1:5" x14ac:dyDescent="0.3">
      <c r="A26" s="32" t="str">
        <f t="shared" si="0"/>
        <v/>
      </c>
      <c r="B26" s="33" t="str">
        <f t="shared" si="1"/>
        <v/>
      </c>
      <c r="C26" s="33" t="str">
        <f t="shared" si="4"/>
        <v/>
      </c>
      <c r="D26" s="12" t="str">
        <f t="shared" si="2"/>
        <v/>
      </c>
      <c r="E26" s="12" t="str">
        <f t="shared" si="3"/>
        <v/>
      </c>
    </row>
    <row r="27" spans="1:5" x14ac:dyDescent="0.3">
      <c r="A27" s="32" t="str">
        <f t="shared" si="0"/>
        <v/>
      </c>
      <c r="B27" s="33" t="str">
        <f t="shared" si="1"/>
        <v/>
      </c>
      <c r="C27" s="33" t="str">
        <f t="shared" si="4"/>
        <v/>
      </c>
      <c r="D27" s="12" t="str">
        <f t="shared" si="2"/>
        <v/>
      </c>
      <c r="E27" s="12" t="str">
        <f t="shared" si="3"/>
        <v/>
      </c>
    </row>
    <row r="28" spans="1:5" x14ac:dyDescent="0.3">
      <c r="A28" s="32" t="str">
        <f t="shared" si="0"/>
        <v/>
      </c>
      <c r="B28" s="33" t="str">
        <f t="shared" si="1"/>
        <v/>
      </c>
      <c r="C28" s="33" t="str">
        <f t="shared" si="4"/>
        <v/>
      </c>
      <c r="D28" s="12" t="str">
        <f t="shared" si="2"/>
        <v/>
      </c>
      <c r="E28" s="12" t="str">
        <f t="shared" si="3"/>
        <v/>
      </c>
    </row>
    <row r="29" spans="1:5" x14ac:dyDescent="0.3">
      <c r="A29" s="32" t="str">
        <f t="shared" si="0"/>
        <v/>
      </c>
      <c r="B29" s="33" t="str">
        <f t="shared" si="1"/>
        <v/>
      </c>
      <c r="C29" s="33" t="str">
        <f t="shared" si="4"/>
        <v/>
      </c>
      <c r="D29" s="12" t="str">
        <f t="shared" si="2"/>
        <v/>
      </c>
      <c r="E29" s="12" t="str">
        <f t="shared" si="3"/>
        <v/>
      </c>
    </row>
    <row r="30" spans="1:5" x14ac:dyDescent="0.3">
      <c r="A30" s="32" t="str">
        <f t="shared" si="0"/>
        <v/>
      </c>
      <c r="B30" s="33" t="str">
        <f t="shared" si="1"/>
        <v/>
      </c>
      <c r="C30" s="33" t="str">
        <f t="shared" si="4"/>
        <v/>
      </c>
      <c r="D30" s="12" t="str">
        <f t="shared" si="2"/>
        <v/>
      </c>
      <c r="E30" s="12" t="str">
        <f t="shared" si="3"/>
        <v/>
      </c>
    </row>
    <row r="31" spans="1:5" x14ac:dyDescent="0.3">
      <c r="A31" s="32" t="str">
        <f t="shared" si="0"/>
        <v/>
      </c>
      <c r="B31" s="33" t="str">
        <f t="shared" si="1"/>
        <v/>
      </c>
      <c r="C31" s="33" t="str">
        <f t="shared" si="4"/>
        <v/>
      </c>
      <c r="D31" s="12" t="str">
        <f t="shared" si="2"/>
        <v/>
      </c>
      <c r="E31" s="12" t="str">
        <f t="shared" si="3"/>
        <v/>
      </c>
    </row>
    <row r="32" spans="1:5" x14ac:dyDescent="0.3">
      <c r="A32" s="32" t="str">
        <f t="shared" si="0"/>
        <v/>
      </c>
      <c r="B32" s="33" t="str">
        <f t="shared" si="1"/>
        <v/>
      </c>
      <c r="C32" s="33" t="str">
        <f t="shared" si="4"/>
        <v/>
      </c>
      <c r="D32" s="12" t="str">
        <f t="shared" si="2"/>
        <v/>
      </c>
      <c r="E32" s="12" t="str">
        <f t="shared" si="3"/>
        <v/>
      </c>
    </row>
    <row r="33" spans="1:5" x14ac:dyDescent="0.3">
      <c r="A33" s="32" t="str">
        <f t="shared" si="0"/>
        <v/>
      </c>
      <c r="B33" s="33" t="str">
        <f t="shared" si="1"/>
        <v/>
      </c>
      <c r="C33" s="33" t="str">
        <f t="shared" si="4"/>
        <v/>
      </c>
      <c r="D33" s="12" t="str">
        <f t="shared" si="2"/>
        <v/>
      </c>
      <c r="E33" s="12" t="str">
        <f t="shared" si="3"/>
        <v/>
      </c>
    </row>
    <row r="34" spans="1:5" x14ac:dyDescent="0.3">
      <c r="A34" s="32" t="str">
        <f t="shared" si="0"/>
        <v/>
      </c>
      <c r="B34" s="33" t="str">
        <f t="shared" si="1"/>
        <v/>
      </c>
      <c r="C34" s="33" t="str">
        <f t="shared" si="4"/>
        <v/>
      </c>
      <c r="D34" s="12" t="str">
        <f t="shared" si="2"/>
        <v/>
      </c>
      <c r="E34" s="12" t="str">
        <f t="shared" si="3"/>
        <v/>
      </c>
    </row>
    <row r="35" spans="1:5" x14ac:dyDescent="0.3">
      <c r="A35" s="32" t="str">
        <f t="shared" si="0"/>
        <v/>
      </c>
      <c r="B35" s="33" t="str">
        <f t="shared" si="1"/>
        <v/>
      </c>
      <c r="C35" s="33" t="str">
        <f t="shared" si="4"/>
        <v/>
      </c>
      <c r="D35" s="12" t="str">
        <f t="shared" si="2"/>
        <v/>
      </c>
      <c r="E35" s="12" t="str">
        <f t="shared" si="3"/>
        <v/>
      </c>
    </row>
    <row r="36" spans="1:5" x14ac:dyDescent="0.3">
      <c r="A36" s="32" t="str">
        <f t="shared" si="0"/>
        <v/>
      </c>
      <c r="B36" s="33" t="str">
        <f t="shared" si="1"/>
        <v/>
      </c>
      <c r="C36" s="33" t="str">
        <f t="shared" si="4"/>
        <v/>
      </c>
      <c r="D36" s="12" t="str">
        <f t="shared" si="2"/>
        <v/>
      </c>
      <c r="E36" s="12" t="str">
        <f t="shared" si="3"/>
        <v/>
      </c>
    </row>
  </sheetData>
  <mergeCells count="9">
    <mergeCell ref="A9:B9"/>
    <mergeCell ref="A10:B10"/>
    <mergeCell ref="A13:E13"/>
    <mergeCell ref="C1:F1"/>
    <mergeCell ref="A3:B3"/>
    <mergeCell ref="A5:B5"/>
    <mergeCell ref="A6:B6"/>
    <mergeCell ref="A7:B7"/>
    <mergeCell ref="A8:B8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"/>
  <sheetViews>
    <sheetView tabSelected="1" workbookViewId="0">
      <selection activeCell="C16" sqref="C16"/>
    </sheetView>
  </sheetViews>
  <sheetFormatPr baseColWidth="10" defaultRowHeight="14.4" x14ac:dyDescent="0.3"/>
  <cols>
    <col min="1" max="1" width="14.44140625" style="14" customWidth="1"/>
    <col min="2" max="2" width="33.6640625" style="10" customWidth="1"/>
    <col min="3" max="3" width="13.33203125" style="10" customWidth="1"/>
    <col min="4" max="4" width="13.33203125" style="14" customWidth="1"/>
    <col min="5" max="5" width="13.33203125" style="10" customWidth="1"/>
    <col min="6" max="6" width="15.33203125" style="17" customWidth="1"/>
    <col min="7" max="7" width="13.109375" style="16" customWidth="1"/>
  </cols>
  <sheetData>
    <row r="1" spans="1:7" s="9" customFormat="1" ht="28.8" x14ac:dyDescent="0.3">
      <c r="A1" s="13" t="s">
        <v>24</v>
      </c>
      <c r="B1" s="8" t="s">
        <v>25</v>
      </c>
      <c r="C1" s="8" t="s">
        <v>26</v>
      </c>
      <c r="D1" s="13" t="s">
        <v>27</v>
      </c>
      <c r="E1" s="8" t="s">
        <v>28</v>
      </c>
      <c r="F1" s="8" t="s">
        <v>29</v>
      </c>
      <c r="G1" s="15" t="s">
        <v>30</v>
      </c>
    </row>
    <row r="2" spans="1:7" x14ac:dyDescent="0.3">
      <c r="A2" s="14">
        <v>45328</v>
      </c>
      <c r="B2" s="10" t="s">
        <v>34</v>
      </c>
      <c r="C2" s="10">
        <v>218</v>
      </c>
      <c r="D2" s="14">
        <v>45329</v>
      </c>
      <c r="E2" s="10">
        <v>5</v>
      </c>
      <c r="F2" s="17" t="s">
        <v>33</v>
      </c>
      <c r="G2" s="16">
        <v>30000</v>
      </c>
    </row>
    <row r="3" spans="1:7" x14ac:dyDescent="0.3">
      <c r="A3" s="14">
        <v>45328</v>
      </c>
      <c r="B3" s="10" t="s">
        <v>32</v>
      </c>
      <c r="C3" s="10">
        <v>123456</v>
      </c>
      <c r="D3" s="14">
        <v>45329</v>
      </c>
      <c r="E3" s="10">
        <v>10</v>
      </c>
      <c r="F3" s="17" t="s">
        <v>33</v>
      </c>
      <c r="G3" s="16">
        <v>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2DE6-1F93-4D3D-ADB4-4E19A911CF6B}">
  <sheetPr codeName="Feuil4"/>
  <dimension ref="A1:F36"/>
  <sheetViews>
    <sheetView workbookViewId="0">
      <selection activeCell="H19" sqref="H19"/>
    </sheetView>
  </sheetViews>
  <sheetFormatPr baseColWidth="10" defaultRowHeight="14.4" x14ac:dyDescent="0.3"/>
  <cols>
    <col min="2" max="2" width="17.44140625" customWidth="1"/>
    <col min="5" max="5" width="13.33203125" customWidth="1"/>
  </cols>
  <sheetData>
    <row r="1" spans="1:6" ht="28.5" customHeight="1" x14ac:dyDescent="0.3">
      <c r="A1" s="1"/>
      <c r="B1" s="5" t="s">
        <v>1</v>
      </c>
      <c r="C1" s="22" t="s">
        <v>32</v>
      </c>
      <c r="D1" s="23"/>
      <c r="E1" s="23"/>
      <c r="F1" s="24"/>
    </row>
    <row r="2" spans="1:6" ht="26.25" customHeight="1" x14ac:dyDescent="0.3">
      <c r="A2" s="1"/>
      <c r="B2" s="1"/>
    </row>
    <row r="3" spans="1:6" x14ac:dyDescent="0.3">
      <c r="A3" s="20" t="s">
        <v>0</v>
      </c>
      <c r="B3" s="20"/>
      <c r="C3" s="2">
        <v>123456</v>
      </c>
    </row>
    <row r="4" spans="1:6" x14ac:dyDescent="0.3">
      <c r="A4" s="4"/>
      <c r="B4" s="4"/>
    </row>
    <row r="5" spans="1:6" x14ac:dyDescent="0.3">
      <c r="A5" s="20" t="s">
        <v>2</v>
      </c>
      <c r="B5" s="20"/>
      <c r="C5" s="25">
        <v>45328</v>
      </c>
      <c r="E5" s="4" t="s">
        <v>7</v>
      </c>
      <c r="F5" s="2"/>
    </row>
    <row r="6" spans="1:6" x14ac:dyDescent="0.3">
      <c r="A6" s="20" t="s">
        <v>3</v>
      </c>
      <c r="B6" s="20"/>
      <c r="C6" s="25">
        <v>45329</v>
      </c>
      <c r="E6" s="4" t="s">
        <v>8</v>
      </c>
      <c r="F6" s="2"/>
    </row>
    <row r="7" spans="1:6" x14ac:dyDescent="0.3">
      <c r="A7" s="20" t="s">
        <v>4</v>
      </c>
      <c r="B7" s="20"/>
      <c r="C7" s="11">
        <v>10000</v>
      </c>
    </row>
    <row r="8" spans="1:6" x14ac:dyDescent="0.3">
      <c r="A8" s="20" t="s">
        <v>5</v>
      </c>
      <c r="B8" s="20"/>
      <c r="C8" s="2" t="s">
        <v>16</v>
      </c>
    </row>
    <row r="9" spans="1:6" x14ac:dyDescent="0.3">
      <c r="A9" s="20" t="s">
        <v>17</v>
      </c>
      <c r="B9" s="20"/>
      <c r="C9" s="26">
        <f>IF(C6 = "", "", C6)</f>
        <v>45329</v>
      </c>
      <c r="D9" s="5"/>
    </row>
    <row r="10" spans="1:6" x14ac:dyDescent="0.3">
      <c r="A10" s="20" t="s">
        <v>6</v>
      </c>
      <c r="B10" s="20"/>
      <c r="C10" s="2">
        <v>10</v>
      </c>
      <c r="D10" s="5" t="s">
        <v>9</v>
      </c>
      <c r="E10" s="34">
        <f>IF(C10 =  "", "", 1/C10)</f>
        <v>0.1</v>
      </c>
    </row>
    <row r="13" spans="1:6" x14ac:dyDescent="0.3">
      <c r="A13" s="21" t="s">
        <v>10</v>
      </c>
      <c r="B13" s="21"/>
      <c r="C13" s="21"/>
      <c r="D13" s="21"/>
      <c r="E13" s="21"/>
    </row>
    <row r="15" spans="1:6" ht="28.8" x14ac:dyDescent="0.3">
      <c r="A15" s="3" t="s">
        <v>11</v>
      </c>
      <c r="B15" s="3" t="s">
        <v>12</v>
      </c>
      <c r="C15" s="3" t="s">
        <v>13</v>
      </c>
      <c r="D15" s="3" t="s">
        <v>14</v>
      </c>
      <c r="E15" s="3" t="s">
        <v>15</v>
      </c>
    </row>
    <row r="16" spans="1:6" x14ac:dyDescent="0.3">
      <c r="A16" s="32">
        <f>IF(OR($C$7="",$C$9="",$C$10=""),"",IF(ROW()=16,DATE(YEAR($C$9),12,31), IF(ROW()-16&gt;$C$10,"",DATE(YEAR(A15)+1,12,31))))</f>
        <v>45657</v>
      </c>
      <c r="B16" s="33">
        <f>IF(A16="","",IF(ROW()=16,$C$7,E15))</f>
        <v>10000</v>
      </c>
      <c r="C16" s="33">
        <f>IF(A16="","",IF(ROW()=16,($C$7*$E$10)* (DAYS360($C$9,A16,TRUE)/360), IF(B16&gt;$C$7*$E$10,$C$7*$E$10,B16)))</f>
        <v>897.22222222222229</v>
      </c>
      <c r="D16" s="33">
        <f>IF(A16  = "", "", IF(ROW() = 16, C16, D15  + C16))</f>
        <v>897.22222222222229</v>
      </c>
      <c r="E16" s="33">
        <f>IF(A16 = "", "", B16 - C16)</f>
        <v>9102.7777777777774</v>
      </c>
    </row>
    <row r="17" spans="1:5" x14ac:dyDescent="0.3">
      <c r="A17" s="32">
        <f t="shared" ref="A17:A36" si="0">IF(OR($C$7="",$C$9="",$C$10=""),"",IF(ROW()=16,DATE(YEAR($C$9),12,31), IF(ROW()-16&gt;$C$10,"",DATE(YEAR(A16)+1,12,31))))</f>
        <v>46022</v>
      </c>
      <c r="B17" s="33">
        <f t="shared" ref="B17:B36" si="1">IF(A17="","",IF(ROW()=16,$C$7,E16))</f>
        <v>9102.7777777777774</v>
      </c>
      <c r="C17" s="33">
        <f>IF(A17="","",IF(ROW()=16,($C$7*$E$10)* (DAYS360($C$9,A17,TRUE)/360), IF(B17&gt;$C$7*$E$10,$C$7*$E$10,B17)))</f>
        <v>1000</v>
      </c>
      <c r="D17" s="33">
        <f t="shared" ref="D17:D36" si="2">IF(A17  = "", "", IF(ROW() = 16, C17, D16  + C17))</f>
        <v>1897.2222222222222</v>
      </c>
      <c r="E17" s="33">
        <f t="shared" ref="E17:E36" si="3">IF(A17 = "", "", B17 - C17)</f>
        <v>8102.7777777777774</v>
      </c>
    </row>
    <row r="18" spans="1:5" x14ac:dyDescent="0.3">
      <c r="A18" s="32">
        <f t="shared" si="0"/>
        <v>46387</v>
      </c>
      <c r="B18" s="33">
        <f t="shared" si="1"/>
        <v>8102.7777777777774</v>
      </c>
      <c r="C18" s="33">
        <f t="shared" ref="C18:C36" si="4">IF(A18="","",IF(ROW()=16,($C$7*$E$10)* (DAYS360($C$9,A18)/360), IF(B18&gt;$C$7*$E$10,$C$7*$E$10,B18)))</f>
        <v>1000</v>
      </c>
      <c r="D18" s="33">
        <f t="shared" si="2"/>
        <v>2897.2222222222222</v>
      </c>
      <c r="E18" s="33">
        <f t="shared" si="3"/>
        <v>7102.7777777777774</v>
      </c>
    </row>
    <row r="19" spans="1:5" x14ac:dyDescent="0.3">
      <c r="A19" s="32">
        <f t="shared" si="0"/>
        <v>46752</v>
      </c>
      <c r="B19" s="33">
        <f t="shared" si="1"/>
        <v>7102.7777777777774</v>
      </c>
      <c r="C19" s="33">
        <f t="shared" si="4"/>
        <v>1000</v>
      </c>
      <c r="D19" s="33">
        <f t="shared" si="2"/>
        <v>3897.2222222222222</v>
      </c>
      <c r="E19" s="33">
        <f t="shared" si="3"/>
        <v>6102.7777777777774</v>
      </c>
    </row>
    <row r="20" spans="1:5" x14ac:dyDescent="0.3">
      <c r="A20" s="32">
        <f t="shared" si="0"/>
        <v>47118</v>
      </c>
      <c r="B20" s="33">
        <f t="shared" si="1"/>
        <v>6102.7777777777774</v>
      </c>
      <c r="C20" s="33">
        <f t="shared" si="4"/>
        <v>1000</v>
      </c>
      <c r="D20" s="33">
        <f t="shared" si="2"/>
        <v>4897.2222222222226</v>
      </c>
      <c r="E20" s="33">
        <f t="shared" si="3"/>
        <v>5102.7777777777774</v>
      </c>
    </row>
    <row r="21" spans="1:5" x14ac:dyDescent="0.3">
      <c r="A21" s="32">
        <f t="shared" si="0"/>
        <v>47483</v>
      </c>
      <c r="B21" s="33">
        <f t="shared" si="1"/>
        <v>5102.7777777777774</v>
      </c>
      <c r="C21" s="33">
        <f t="shared" si="4"/>
        <v>1000</v>
      </c>
      <c r="D21" s="33">
        <f t="shared" si="2"/>
        <v>5897.2222222222226</v>
      </c>
      <c r="E21" s="33">
        <f t="shared" si="3"/>
        <v>4102.7777777777774</v>
      </c>
    </row>
    <row r="22" spans="1:5" x14ac:dyDescent="0.3">
      <c r="A22" s="32">
        <f t="shared" si="0"/>
        <v>47848</v>
      </c>
      <c r="B22" s="33">
        <f t="shared" si="1"/>
        <v>4102.7777777777774</v>
      </c>
      <c r="C22" s="33">
        <f t="shared" si="4"/>
        <v>1000</v>
      </c>
      <c r="D22" s="12">
        <f t="shared" si="2"/>
        <v>6897.2222222222226</v>
      </c>
      <c r="E22" s="12">
        <f t="shared" si="3"/>
        <v>3102.7777777777774</v>
      </c>
    </row>
    <row r="23" spans="1:5" x14ac:dyDescent="0.3">
      <c r="A23" s="32">
        <f t="shared" si="0"/>
        <v>48213</v>
      </c>
      <c r="B23" s="33">
        <f t="shared" si="1"/>
        <v>3102.7777777777774</v>
      </c>
      <c r="C23" s="33">
        <f t="shared" si="4"/>
        <v>1000</v>
      </c>
      <c r="D23" s="12">
        <f t="shared" si="2"/>
        <v>7897.2222222222226</v>
      </c>
      <c r="E23" s="12">
        <f t="shared" si="3"/>
        <v>2102.7777777777774</v>
      </c>
    </row>
    <row r="24" spans="1:5" x14ac:dyDescent="0.3">
      <c r="A24" s="32">
        <f t="shared" si="0"/>
        <v>48579</v>
      </c>
      <c r="B24" s="33">
        <f t="shared" si="1"/>
        <v>2102.7777777777774</v>
      </c>
      <c r="C24" s="33">
        <f t="shared" si="4"/>
        <v>1000</v>
      </c>
      <c r="D24" s="12">
        <f t="shared" si="2"/>
        <v>8897.2222222222226</v>
      </c>
      <c r="E24" s="12">
        <f t="shared" si="3"/>
        <v>1102.7777777777774</v>
      </c>
    </row>
    <row r="25" spans="1:5" x14ac:dyDescent="0.3">
      <c r="A25" s="32">
        <f t="shared" si="0"/>
        <v>48944</v>
      </c>
      <c r="B25" s="33">
        <f t="shared" si="1"/>
        <v>1102.7777777777774</v>
      </c>
      <c r="C25" s="33">
        <f t="shared" si="4"/>
        <v>1000</v>
      </c>
      <c r="D25" s="12">
        <f t="shared" si="2"/>
        <v>9897.2222222222226</v>
      </c>
      <c r="E25" s="12">
        <f t="shared" si="3"/>
        <v>102.77777777777737</v>
      </c>
    </row>
    <row r="26" spans="1:5" x14ac:dyDescent="0.3">
      <c r="A26" s="32">
        <f t="shared" si="0"/>
        <v>49309</v>
      </c>
      <c r="B26" s="33">
        <f t="shared" si="1"/>
        <v>102.77777777777737</v>
      </c>
      <c r="C26" s="33">
        <f t="shared" si="4"/>
        <v>102.77777777777737</v>
      </c>
      <c r="D26" s="12">
        <f t="shared" si="2"/>
        <v>10000</v>
      </c>
      <c r="E26" s="12">
        <f t="shared" si="3"/>
        <v>0</v>
      </c>
    </row>
    <row r="27" spans="1:5" x14ac:dyDescent="0.3">
      <c r="A27" s="32" t="str">
        <f t="shared" si="0"/>
        <v/>
      </c>
      <c r="B27" s="33" t="str">
        <f t="shared" si="1"/>
        <v/>
      </c>
      <c r="C27" s="33" t="str">
        <f t="shared" si="4"/>
        <v/>
      </c>
      <c r="D27" s="12" t="str">
        <f t="shared" si="2"/>
        <v/>
      </c>
      <c r="E27" s="12" t="str">
        <f t="shared" si="3"/>
        <v/>
      </c>
    </row>
    <row r="28" spans="1:5" x14ac:dyDescent="0.3">
      <c r="A28" s="32" t="str">
        <f t="shared" si="0"/>
        <v/>
      </c>
      <c r="B28" s="33" t="str">
        <f t="shared" si="1"/>
        <v/>
      </c>
      <c r="C28" s="33" t="str">
        <f t="shared" si="4"/>
        <v/>
      </c>
      <c r="D28" s="12" t="str">
        <f t="shared" si="2"/>
        <v/>
      </c>
      <c r="E28" s="12" t="str">
        <f t="shared" si="3"/>
        <v/>
      </c>
    </row>
    <row r="29" spans="1:5" x14ac:dyDescent="0.3">
      <c r="A29" s="32" t="str">
        <f t="shared" si="0"/>
        <v/>
      </c>
      <c r="B29" s="33" t="str">
        <f t="shared" si="1"/>
        <v/>
      </c>
      <c r="C29" s="33" t="str">
        <f t="shared" si="4"/>
        <v/>
      </c>
      <c r="D29" s="12" t="str">
        <f t="shared" si="2"/>
        <v/>
      </c>
      <c r="E29" s="12" t="str">
        <f t="shared" si="3"/>
        <v/>
      </c>
    </row>
    <row r="30" spans="1:5" x14ac:dyDescent="0.3">
      <c r="A30" s="32" t="str">
        <f t="shared" si="0"/>
        <v/>
      </c>
      <c r="B30" s="33" t="str">
        <f t="shared" si="1"/>
        <v/>
      </c>
      <c r="C30" s="33" t="str">
        <f t="shared" si="4"/>
        <v/>
      </c>
      <c r="D30" s="12" t="str">
        <f t="shared" si="2"/>
        <v/>
      </c>
      <c r="E30" s="12" t="str">
        <f t="shared" si="3"/>
        <v/>
      </c>
    </row>
    <row r="31" spans="1:5" x14ac:dyDescent="0.3">
      <c r="A31" s="32" t="str">
        <f t="shared" si="0"/>
        <v/>
      </c>
      <c r="B31" s="33" t="str">
        <f t="shared" si="1"/>
        <v/>
      </c>
      <c r="C31" s="33" t="str">
        <f t="shared" si="4"/>
        <v/>
      </c>
      <c r="D31" s="12" t="str">
        <f t="shared" si="2"/>
        <v/>
      </c>
      <c r="E31" s="12" t="str">
        <f t="shared" si="3"/>
        <v/>
      </c>
    </row>
    <row r="32" spans="1:5" x14ac:dyDescent="0.3">
      <c r="A32" s="32" t="str">
        <f t="shared" si="0"/>
        <v/>
      </c>
      <c r="B32" s="33" t="str">
        <f t="shared" si="1"/>
        <v/>
      </c>
      <c r="C32" s="33" t="str">
        <f t="shared" si="4"/>
        <v/>
      </c>
      <c r="D32" s="12" t="str">
        <f t="shared" si="2"/>
        <v/>
      </c>
      <c r="E32" s="12" t="str">
        <f t="shared" si="3"/>
        <v/>
      </c>
    </row>
    <row r="33" spans="1:5" x14ac:dyDescent="0.3">
      <c r="A33" s="32" t="str">
        <f t="shared" si="0"/>
        <v/>
      </c>
      <c r="B33" s="33" t="str">
        <f t="shared" si="1"/>
        <v/>
      </c>
      <c r="C33" s="33" t="str">
        <f t="shared" si="4"/>
        <v/>
      </c>
      <c r="D33" s="12" t="str">
        <f t="shared" si="2"/>
        <v/>
      </c>
      <c r="E33" s="12" t="str">
        <f t="shared" si="3"/>
        <v/>
      </c>
    </row>
    <row r="34" spans="1:5" x14ac:dyDescent="0.3">
      <c r="A34" s="32" t="str">
        <f t="shared" si="0"/>
        <v/>
      </c>
      <c r="B34" s="33" t="str">
        <f t="shared" si="1"/>
        <v/>
      </c>
      <c r="C34" s="33" t="str">
        <f t="shared" si="4"/>
        <v/>
      </c>
      <c r="D34" s="12" t="str">
        <f t="shared" si="2"/>
        <v/>
      </c>
      <c r="E34" s="12" t="str">
        <f t="shared" si="3"/>
        <v/>
      </c>
    </row>
    <row r="35" spans="1:5" x14ac:dyDescent="0.3">
      <c r="A35" s="32" t="str">
        <f t="shared" si="0"/>
        <v/>
      </c>
      <c r="B35" s="33" t="str">
        <f t="shared" si="1"/>
        <v/>
      </c>
      <c r="C35" s="33" t="str">
        <f t="shared" si="4"/>
        <v/>
      </c>
      <c r="D35" s="12" t="str">
        <f t="shared" si="2"/>
        <v/>
      </c>
      <c r="E35" s="12" t="str">
        <f t="shared" si="3"/>
        <v/>
      </c>
    </row>
    <row r="36" spans="1:5" x14ac:dyDescent="0.3">
      <c r="A36" s="32" t="str">
        <f t="shared" si="0"/>
        <v/>
      </c>
      <c r="B36" s="33" t="str">
        <f t="shared" si="1"/>
        <v/>
      </c>
      <c r="C36" s="33" t="str">
        <f t="shared" si="4"/>
        <v/>
      </c>
      <c r="D36" s="12" t="str">
        <f t="shared" si="2"/>
        <v/>
      </c>
      <c r="E36" s="12" t="str">
        <f t="shared" si="3"/>
        <v/>
      </c>
    </row>
  </sheetData>
  <mergeCells count="9">
    <mergeCell ref="A9:B9"/>
    <mergeCell ref="A10:B10"/>
    <mergeCell ref="A13:E13"/>
    <mergeCell ref="C1:F1"/>
    <mergeCell ref="A3:B3"/>
    <mergeCell ref="A5:B5"/>
    <mergeCell ref="A6:B6"/>
    <mergeCell ref="A7:B7"/>
    <mergeCell ref="A8:B8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Formulaire</vt:lpstr>
      <vt:lpstr>fiche immo</vt:lpstr>
      <vt:lpstr>liste des immo</vt:lpstr>
      <vt:lpstr>ordinateur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Freezo</dc:creator>
  <cp:lastModifiedBy>Paulo MARTINS LEITAO COELHO</cp:lastModifiedBy>
  <dcterms:created xsi:type="dcterms:W3CDTF">2019-03-24T09:18:05Z</dcterms:created>
  <dcterms:modified xsi:type="dcterms:W3CDTF">2024-02-07T14:18:05Z</dcterms:modified>
</cp:coreProperties>
</file>